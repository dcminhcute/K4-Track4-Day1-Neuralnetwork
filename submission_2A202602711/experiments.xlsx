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t="inlineStr">
        <is>
          <t>base-s1</t>
        </is>
      </c>
      <c r="B2" t="inlineStr">
        <is>
          <t>baseline</t>
        </is>
      </c>
      <c r="C2" t="inlineStr">
        <is>
          <t>Baseline M-base: SGD+momentum, lr=0.05, He init</t>
        </is>
      </c>
      <c r="D2" t="inlineStr">
        <is>
          <t>ce</t>
        </is>
      </c>
      <c r="E2" t="inlineStr">
        <is>
          <t>sgd_momentum</t>
        </is>
      </c>
      <c r="F2" t="n">
        <v>0.05</v>
      </c>
      <c r="G2" t="n">
        <v>0</v>
      </c>
      <c r="H2" t="n">
        <v>512</v>
      </c>
      <c r="I2" t="n">
        <v>20</v>
      </c>
      <c r="J2" t="inlineStr">
        <is>
          <t>[256, 128]</t>
        </is>
      </c>
      <c r="K2" t="n">
        <v>0</v>
      </c>
      <c r="M2" t="inlineStr">
        <is>
          <t>fp32</t>
        </is>
      </c>
      <c r="N2" t="inlineStr">
        <is>
          <t>he</t>
        </is>
      </c>
      <c r="O2" t="n">
        <v>1</v>
      </c>
      <c r="P2" t="n">
        <v>2.269082259332679</v>
      </c>
      <c r="Q2" t="n">
        <v>0.2531679603291323</v>
      </c>
      <c r="R2" t="n">
        <v>19</v>
      </c>
      <c r="S2" t="n">
        <v>0.2404621879272088</v>
      </c>
      <c r="T2" t="n">
        <v>0.2608214918645769</v>
      </c>
      <c r="U2" t="n">
        <v>0.8973666429519653</v>
      </c>
      <c r="V2" t="n">
        <v>0.84054790995188</v>
      </c>
      <c r="W2" t="n">
        <v>1.50507253408432</v>
      </c>
      <c r="X2" t="n">
        <v>0</v>
      </c>
      <c r="Y2" t="b">
        <v>0</v>
      </c>
      <c r="AB2" t="inlineStr">
        <is>
          <t>figures/base-s1.png</t>
        </is>
      </c>
      <c r="AC2" t="inlineStr"/>
    </row>
    <row r="3" ht="15" customHeight="1" s="20">
      <c r="A3" t="inlineStr">
        <is>
          <t>base-s2</t>
        </is>
      </c>
      <c r="B3" t="inlineStr">
        <is>
          <t>baseline</t>
        </is>
      </c>
      <c r="C3" t="inlineStr">
        <is>
          <t>Baseline M-base: SGD+momentum, lr=0.05, He init</t>
        </is>
      </c>
      <c r="D3" t="inlineStr">
        <is>
          <t>ce</t>
        </is>
      </c>
      <c r="E3" t="inlineStr">
        <is>
          <t>sgd_momentum</t>
        </is>
      </c>
      <c r="F3" t="n">
        <v>0.05</v>
      </c>
      <c r="G3" t="n">
        <v>0</v>
      </c>
      <c r="H3" t="n">
        <v>512</v>
      </c>
      <c r="I3" t="n">
        <v>20</v>
      </c>
      <c r="J3" t="inlineStr">
        <is>
          <t>[256, 128]</t>
        </is>
      </c>
      <c r="K3" t="n">
        <v>0</v>
      </c>
      <c r="M3" t="inlineStr">
        <is>
          <t>fp32</t>
        </is>
      </c>
      <c r="N3" t="inlineStr">
        <is>
          <t>he</t>
        </is>
      </c>
      <c r="O3" t="n">
        <v>2</v>
      </c>
      <c r="P3" t="n">
        <v>1.978168615485753</v>
      </c>
      <c r="Q3" t="n">
        <v>0.2468500365631267</v>
      </c>
      <c r="R3" t="n">
        <v>20</v>
      </c>
      <c r="S3" t="n">
        <v>0.2260925884310344</v>
      </c>
      <c r="T3" t="n">
        <v>0.2468500365631267</v>
      </c>
      <c r="U3" t="n">
        <v>0.9003786444664001</v>
      </c>
      <c r="V3" t="n">
        <v>0.8375970458055731</v>
      </c>
      <c r="W3" t="n">
        <v>1.882486855983734</v>
      </c>
      <c r="X3" t="n">
        <v>0</v>
      </c>
      <c r="Y3" t="b">
        <v>0</v>
      </c>
      <c r="AB3" t="inlineStr">
        <is>
          <t>figures/base-s2.png</t>
        </is>
      </c>
      <c r="AC3" t="inlineStr"/>
    </row>
    <row r="4" ht="15" customHeight="1" s="20">
      <c r="A4" t="inlineStr">
        <is>
          <t>base-s3</t>
        </is>
      </c>
      <c r="B4" t="inlineStr">
        <is>
          <t>baseline</t>
        </is>
      </c>
      <c r="C4" t="inlineStr">
        <is>
          <t>Baseline M-base: SGD+momentum, lr=0.05, He init</t>
        </is>
      </c>
      <c r="D4" t="inlineStr">
        <is>
          <t>ce</t>
        </is>
      </c>
      <c r="E4" t="inlineStr">
        <is>
          <t>sgd_momentum</t>
        </is>
      </c>
      <c r="F4" t="n">
        <v>0.05</v>
      </c>
      <c r="G4" t="n">
        <v>0</v>
      </c>
      <c r="H4" t="n">
        <v>512</v>
      </c>
      <c r="I4" t="n">
        <v>20</v>
      </c>
      <c r="J4" t="inlineStr">
        <is>
          <t>[256, 128]</t>
        </is>
      </c>
      <c r="K4" t="n">
        <v>0</v>
      </c>
      <c r="M4" t="inlineStr">
        <is>
          <t>fp32</t>
        </is>
      </c>
      <c r="N4" t="inlineStr">
        <is>
          <t>he</t>
        </is>
      </c>
      <c r="O4" t="n">
        <v>3</v>
      </c>
      <c r="P4" t="n">
        <v>1.90053610205817</v>
      </c>
      <c r="Q4" t="n">
        <v>0.2481257339246568</v>
      </c>
      <c r="R4" t="n">
        <v>19</v>
      </c>
      <c r="S4" t="n">
        <v>0.234661188389665</v>
      </c>
      <c r="T4" t="n">
        <v>0.2547063834977892</v>
      </c>
      <c r="U4" t="n">
        <v>0.9005184769630432</v>
      </c>
      <c r="V4" t="n">
        <v>0.843790641477737</v>
      </c>
      <c r="W4" t="n">
        <v>1.815173828601837</v>
      </c>
      <c r="X4" t="n">
        <v>0</v>
      </c>
      <c r="Y4" t="b">
        <v>0</v>
      </c>
      <c r="AB4" t="inlineStr">
        <is>
          <t>figures/base-s3.png</t>
        </is>
      </c>
      <c r="AC4" t="inlineStr"/>
    </row>
    <row r="5" ht="15" customHeight="1" s="20">
      <c r="A5" t="inlineStr">
        <is>
          <t>clip-1.0-highlr</t>
        </is>
      </c>
      <c r="B5" t="inlineStr">
        <is>
          <t>clipping</t>
        </is>
      </c>
      <c r="C5" t="inlineStr">
        <is>
          <t>Clip norm=1.0, high lr</t>
        </is>
      </c>
      <c r="D5" t="inlineStr">
        <is>
          <t>ce</t>
        </is>
      </c>
      <c r="E5" t="inlineStr">
        <is>
          <t>sgd_momentum</t>
        </is>
      </c>
      <c r="F5" t="n">
        <v>0.1</v>
      </c>
      <c r="G5" t="n">
        <v>0</v>
      </c>
      <c r="H5" t="n">
        <v>512</v>
      </c>
      <c r="I5" t="n">
        <v>20</v>
      </c>
      <c r="J5" t="inlineStr">
        <is>
          <t>[256, 128]</t>
        </is>
      </c>
      <c r="K5" t="n">
        <v>0</v>
      </c>
      <c r="L5" t="n">
        <v>1</v>
      </c>
      <c r="M5" t="inlineStr">
        <is>
          <t>fp32</t>
        </is>
      </c>
      <c r="N5" t="inlineStr">
        <is>
          <t>he</t>
        </is>
      </c>
      <c r="O5" t="n">
        <v>1</v>
      </c>
      <c r="P5" t="n">
        <v>2.269082259332679</v>
      </c>
      <c r="Q5" t="n">
        <v>0.2399817858311209</v>
      </c>
      <c r="R5" t="n">
        <v>18</v>
      </c>
      <c r="S5" t="n">
        <v>0.216132036653515</v>
      </c>
      <c r="T5" t="n">
        <v>0.2401118632763851</v>
      </c>
      <c r="U5" t="n">
        <v>0.902648389339447</v>
      </c>
      <c r="V5" t="n">
        <v>0.8463992399180112</v>
      </c>
      <c r="W5" t="n">
        <v>1.445585083961487</v>
      </c>
      <c r="X5" t="n">
        <v>0</v>
      </c>
      <c r="Y5" t="b">
        <v>0</v>
      </c>
      <c r="AB5" t="inlineStr">
        <is>
          <t>figures/clip-1.0-highlr.png</t>
        </is>
      </c>
      <c r="AC5" t="inlineStr"/>
    </row>
    <row r="6" ht="15" customHeight="1" s="20">
      <c r="A6" t="inlineStr">
        <is>
          <t>drop-0.3</t>
        </is>
      </c>
      <c r="B6" t="inlineStr">
        <is>
          <t>dropout</t>
        </is>
      </c>
      <c r="C6" t="inlineStr">
        <is>
          <t>Dropout q=0.3</t>
        </is>
      </c>
      <c r="D6" t="inlineStr">
        <is>
          <t>ce</t>
        </is>
      </c>
      <c r="E6" t="inlineStr">
        <is>
          <t>sgd_momentum</t>
        </is>
      </c>
      <c r="F6" t="n">
        <v>0.05</v>
      </c>
      <c r="G6" t="n">
        <v>0</v>
      </c>
      <c r="H6" t="n">
        <v>512</v>
      </c>
      <c r="I6" t="n">
        <v>20</v>
      </c>
      <c r="J6" t="inlineStr">
        <is>
          <t>[256, 128]</t>
        </is>
      </c>
      <c r="K6" t="n">
        <v>0.3</v>
      </c>
      <c r="M6" t="inlineStr">
        <is>
          <t>fp32</t>
        </is>
      </c>
      <c r="N6" t="inlineStr">
        <is>
          <t>he</t>
        </is>
      </c>
      <c r="O6" t="n">
        <v>1</v>
      </c>
      <c r="P6" t="n">
        <v>2.269082259332679</v>
      </c>
      <c r="Q6" t="n">
        <v>0.3401709916230998</v>
      </c>
      <c r="R6" t="n">
        <v>20</v>
      </c>
      <c r="S6" t="n">
        <v>0.3338552521760921</v>
      </c>
      <c r="T6" t="n">
        <v>0.3401709916230998</v>
      </c>
      <c r="U6" t="n">
        <v>0.8629547357559204</v>
      </c>
      <c r="V6" t="n">
        <v>0.7633203100281573</v>
      </c>
      <c r="W6" t="n">
        <v>2.418325996398926</v>
      </c>
      <c r="X6" t="n">
        <v>0</v>
      </c>
      <c r="Y6" t="b">
        <v>0</v>
      </c>
      <c r="AB6" t="inlineStr">
        <is>
          <t>figures/drop-0.3.png</t>
        </is>
      </c>
      <c r="AC6" t="inlineStr"/>
    </row>
    <row r="7" ht="15" customHeight="1" s="20">
      <c r="A7" t="inlineStr">
        <is>
          <t>hparam-wd-0.001</t>
        </is>
      </c>
      <c r="B7" t="inlineStr">
        <is>
          <t>hparam</t>
        </is>
      </c>
      <c r="C7" t="inlineStr">
        <is>
          <t>Weight decay 0.001</t>
        </is>
      </c>
      <c r="D7" t="inlineStr">
        <is>
          <t>ce</t>
        </is>
      </c>
      <c r="E7" t="inlineStr">
        <is>
          <t>sgd_momentum</t>
        </is>
      </c>
      <c r="F7" t="n">
        <v>0.05</v>
      </c>
      <c r="G7" t="n">
        <v>0.001</v>
      </c>
      <c r="H7" t="n">
        <v>512</v>
      </c>
      <c r="I7" t="n">
        <v>20</v>
      </c>
      <c r="J7" t="inlineStr">
        <is>
          <t>[256, 128]</t>
        </is>
      </c>
      <c r="K7" t="n">
        <v>0</v>
      </c>
      <c r="M7" t="inlineStr">
        <is>
          <t>fp32</t>
        </is>
      </c>
      <c r="N7" t="inlineStr">
        <is>
          <t>he</t>
        </is>
      </c>
      <c r="O7" t="n">
        <v>1</v>
      </c>
      <c r="P7" t="n">
        <v>2.269082259332679</v>
      </c>
      <c r="Q7" t="n">
        <v>0.3902336400578414</v>
      </c>
      <c r="R7" t="n">
        <v>20</v>
      </c>
      <c r="S7" t="n">
        <v>0.3841924761888265</v>
      </c>
      <c r="T7" t="n">
        <v>0.3902336400578414</v>
      </c>
      <c r="U7" t="n">
        <v>0.8410425782203674</v>
      </c>
      <c r="V7" t="n">
        <v>0.6790348971913124</v>
      </c>
      <c r="W7" t="n">
        <v>2.152904868125916</v>
      </c>
      <c r="X7" t="n">
        <v>0</v>
      </c>
      <c r="Y7" t="b">
        <v>0</v>
      </c>
      <c r="AB7" t="inlineStr">
        <is>
          <t>figures/hparam-wd-0.001.png</t>
        </is>
      </c>
      <c r="AC7" t="inlineStr"/>
    </row>
    <row r="8" ht="15" customHeight="1" s="20">
      <c r="A8" t="inlineStr">
        <is>
          <t>init-xavier</t>
        </is>
      </c>
      <c r="B8" t="inlineStr">
        <is>
          <t>init</t>
        </is>
      </c>
      <c r="C8" t="inlineStr">
        <is>
          <t>Xavier initialization</t>
        </is>
      </c>
      <c r="D8" t="inlineStr">
        <is>
          <t>ce</t>
        </is>
      </c>
      <c r="E8" t="inlineStr">
        <is>
          <t>sgd_momentum</t>
        </is>
      </c>
      <c r="F8" t="n">
        <v>0.05</v>
      </c>
      <c r="G8" t="n">
        <v>0</v>
      </c>
      <c r="H8" t="n">
        <v>512</v>
      </c>
      <c r="I8" t="n">
        <v>20</v>
      </c>
      <c r="J8" t="inlineStr">
        <is>
          <t>[256, 128]</t>
        </is>
      </c>
      <c r="K8" t="n">
        <v>0</v>
      </c>
      <c r="M8" t="inlineStr">
        <is>
          <t>fp32</t>
        </is>
      </c>
      <c r="N8" t="inlineStr">
        <is>
          <t>xavier</t>
        </is>
      </c>
      <c r="O8" t="n">
        <v>1</v>
      </c>
      <c r="P8" t="n">
        <v>2.022180148731993</v>
      </c>
      <c r="Q8" t="n">
        <v>0.2446760213839813</v>
      </c>
      <c r="R8" t="n">
        <v>20</v>
      </c>
      <c r="S8" t="n">
        <v>0.2269007604828101</v>
      </c>
      <c r="T8" t="n">
        <v>0.2446760213839813</v>
      </c>
      <c r="U8" t="n">
        <v>0.9015619158744812</v>
      </c>
      <c r="V8" t="n">
        <v>0.8425425239869171</v>
      </c>
      <c r="W8" t="n">
        <v>2.019482040405273</v>
      </c>
      <c r="X8" t="n">
        <v>0</v>
      </c>
      <c r="Y8" t="b">
        <v>0</v>
      </c>
      <c r="AB8" t="inlineStr">
        <is>
          <t>figures/init-xavier.png</t>
        </is>
      </c>
      <c r="AC8" t="inlineStr"/>
    </row>
    <row r="9" ht="15" customHeight="1" s="20">
      <c r="A9" t="inlineStr">
        <is>
          <t>loss-mse</t>
        </is>
      </c>
      <c r="B9" t="inlineStr">
        <is>
          <t>loss</t>
        </is>
      </c>
      <c r="C9" t="inlineStr">
        <is>
          <t>MSE loss</t>
        </is>
      </c>
      <c r="D9" t="inlineStr">
        <is>
          <t>mse</t>
        </is>
      </c>
      <c r="E9" t="inlineStr">
        <is>
          <t>sgd_momentum</t>
        </is>
      </c>
      <c r="F9" t="n">
        <v>0.05</v>
      </c>
      <c r="G9" t="n">
        <v>0</v>
      </c>
      <c r="H9" t="n">
        <v>512</v>
      </c>
      <c r="I9" t="n">
        <v>20</v>
      </c>
      <c r="J9" t="inlineStr">
        <is>
          <t>[256, 128]</t>
        </is>
      </c>
      <c r="K9" t="n">
        <v>0</v>
      </c>
      <c r="M9" t="inlineStr">
        <is>
          <t>fp32</t>
        </is>
      </c>
      <c r="N9" t="inlineStr">
        <is>
          <t>he</t>
        </is>
      </c>
      <c r="O9" t="n">
        <v>1</v>
      </c>
      <c r="P9" t="n">
        <v>0.6358698216722543</v>
      </c>
      <c r="Q9" t="n">
        <v>0.03241256806737446</v>
      </c>
      <c r="R9" t="n">
        <v>20</v>
      </c>
      <c r="S9" t="n">
        <v>0.03155468507988907</v>
      </c>
      <c r="T9" t="n">
        <v>0.03241256806737446</v>
      </c>
      <c r="U9" t="n">
        <v>0.8548546433448792</v>
      </c>
      <c r="V9" t="n">
        <v>0.682845446873098</v>
      </c>
      <c r="W9" t="n">
        <v>1.268105578422546</v>
      </c>
      <c r="X9" t="n">
        <v>0</v>
      </c>
      <c r="Y9" t="b">
        <v>0</v>
      </c>
      <c r="AB9" t="inlineStr">
        <is>
          <t>figures/loss-mse.png</t>
        </is>
      </c>
      <c r="AC9" t="inlineStr"/>
    </row>
    <row r="10" ht="15" customHeight="1" s="20">
      <c r="A10" t="inlineStr">
        <is>
          <t>opt-adam-lr0.001</t>
        </is>
      </c>
      <c r="B10" t="inlineStr">
        <is>
          <t>optimizer</t>
        </is>
      </c>
      <c r="C10" t="inlineStr">
        <is>
          <t>Adam lr=0.001</t>
        </is>
      </c>
      <c r="D10" t="inlineStr">
        <is>
          <t>ce</t>
        </is>
      </c>
      <c r="E10" t="inlineStr">
        <is>
          <t>adam</t>
        </is>
      </c>
      <c r="F10" t="n">
        <v>0.001</v>
      </c>
      <c r="G10" t="n">
        <v>0</v>
      </c>
      <c r="H10" t="n">
        <v>512</v>
      </c>
      <c r="I10" t="n">
        <v>20</v>
      </c>
      <c r="J10" t="inlineStr">
        <is>
          <t>[256, 128]</t>
        </is>
      </c>
      <c r="K10" t="n">
        <v>0</v>
      </c>
      <c r="M10" t="inlineStr">
        <is>
          <t>fp32</t>
        </is>
      </c>
      <c r="N10" t="inlineStr">
        <is>
          <t>he</t>
        </is>
      </c>
      <c r="O10" t="n">
        <v>1</v>
      </c>
      <c r="P10" t="n">
        <v>2.269082259332679</v>
      </c>
      <c r="Q10" t="n">
        <v>0.2396301506067348</v>
      </c>
      <c r="R10" t="n">
        <v>20</v>
      </c>
      <c r="S10" t="n">
        <v>0.2188428981231261</v>
      </c>
      <c r="T10" t="n">
        <v>0.2396301506067348</v>
      </c>
      <c r="U10" t="n">
        <v>0.9047890305519104</v>
      </c>
      <c r="V10" t="n">
        <v>0.8513414157494898</v>
      </c>
      <c r="W10" t="n">
        <v>2.380089998245239</v>
      </c>
      <c r="X10" t="n">
        <v>0</v>
      </c>
      <c r="Y10" t="b">
        <v>0</v>
      </c>
      <c r="AB10" t="inlineStr">
        <is>
          <t>figures/opt-adam-lr0.001.png</t>
        </is>
      </c>
      <c r="AC10" t="inlineStr"/>
    </row>
    <row r="11" ht="15" customHeight="1" s="20"/>
    <row r="12" ht="15" customHeight="1" s="20"/>
    <row r="13" ht="15" customHeight="1" s="20"/>
    <row r="14" ht="15" customHeight="1" s="20"/>
    <row r="15" ht="15" customHeight="1" s="20"/>
    <row r="16" ht="15" customHeight="1" s="20"/>
    <row r="17" ht="15" customHeight="1" s="20"/>
    <row r="18" ht="15" customHeight="1" s="20"/>
    <row r="19" ht="15" customHeight="1" s="20"/>
    <row r="20" ht="15" customHeight="1" s="20"/>
    <row r="21" ht="15" customHeight="1" s="20"/>
    <row r="22" ht="15" customHeight="1" s="20"/>
    <row r="23" ht="15" customHeight="1" s="20"/>
    <row r="24" ht="15" customHeight="1" s="20"/>
    <row r="25" ht="15" customHeight="1" s="20"/>
    <row r="26" ht="15" customHeight="1" s="20"/>
    <row r="27" ht="15" customHeight="1" s="20"/>
    <row r="28" ht="15" customHeight="1" s="20"/>
    <row r="29" ht="15" customHeight="1" s="20"/>
    <row r="30" ht="15" customHeight="1" s="20"/>
    <row r="31" ht="15" customHeight="1" s="20"/>
    <row r="32" ht="15" customHeight="1" s="20"/>
    <row r="33" ht="15" customHeight="1" s="20"/>
    <row r="34" ht="15" customHeight="1" s="20"/>
    <row r="35" ht="15" customHeight="1" s="20"/>
    <row r="36" ht="15" customHeight="1" s="20"/>
    <row r="37" ht="15" customHeight="1" s="20"/>
    <row r="38" ht="15" customHeight="1" s="20"/>
    <row r="39" ht="15" customHeight="1" s="20"/>
    <row r="40" ht="15" customHeight="1" s="20"/>
    <row r="41" ht="15" customHeight="1" s="20"/>
    <row r="42" ht="15" customHeight="1" s="20"/>
    <row r="43" ht="15" customHeight="1" s="20"/>
    <row r="44" ht="15" customHeight="1" s="20"/>
    <row r="45" ht="15" customHeight="1" s="20"/>
    <row r="46" ht="15" customHeight="1" s="20"/>
    <row r="47" ht="15" customHeight="1" s="20"/>
    <row r="48" ht="15" customHeight="1" s="20"/>
    <row r="49" ht="15" customHeight="1" s="20"/>
    <row r="50" ht="15" customHeight="1" s="20"/>
    <row r="51" ht="15" customHeight="1" s="20"/>
    <row r="52" ht="15" customHeight="1" s="20"/>
    <row r="53" ht="15" customHeight="1" s="20"/>
    <row r="54" ht="15" customHeight="1" s="20"/>
    <row r="55" ht="15" customHeight="1" s="20"/>
    <row r="56" ht="15" customHeight="1" s="20"/>
    <row r="57" ht="15" customHeight="1" s="20"/>
    <row r="58" ht="15" customHeight="1" s="20"/>
    <row r="59" ht="15" customHeight="1" s="20"/>
    <row r="60" ht="15" customHeight="1" s="20"/>
    <row r="61" ht="15" customHeight="1" s="20"/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3">
        <f>IF($A2="","",IFERROR(IF(INDEX(Experiments!$U$2:$U$61,MATCH($A2,Experiments!$A$2:$A$61,0))="","",INDEX(Experiments!$U$2:$U$61,MATCH($A2,Experiments!$A$2:$A$61,0))),""))</f>
        <v/>
      </c>
      <c r="C2" s="33">
        <f>IF($A2="","",IFERROR(IF(INDEX(Experiments!$V$2:$V$61,MATCH($A2,Experiments!$A$2:$A$61,0))="","",INDEX(Experiments!$V$2:$V$61,MATCH($A2,Experiments!$A$2:$A$61,0))),""))</f>
        <v/>
      </c>
      <c r="D2" s="33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3">
        <f>IF($A3="","",IFERROR(IF(INDEX(Experiments!$U$2:$U$61,MATCH($A3,Experiments!$A$2:$A$61,0))="","",INDEX(Experiments!$U$2:$U$61,MATCH($A3,Experiments!$A$2:$A$61,0))),""))</f>
        <v/>
      </c>
      <c r="C3" s="33">
        <f>IF($A3="","",IFERROR(IF(INDEX(Experiments!$V$2:$V$61,MATCH($A3,Experiments!$A$2:$A$61,0))="","",INDEX(Experiments!$V$2:$V$61,MATCH($A3,Experiments!$A$2:$A$61,0))),""))</f>
        <v/>
      </c>
      <c r="D3" s="33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3">
        <f>IF($A4="","",IFERROR(IF(INDEX(Experiments!$U$2:$U$61,MATCH($A4,Experiments!$A$2:$A$61,0))="","",INDEX(Experiments!$U$2:$U$61,MATCH($A4,Experiments!$A$2:$A$61,0))),""))</f>
        <v/>
      </c>
      <c r="C4" s="33">
        <f>IF($A4="","",IFERROR(IF(INDEX(Experiments!$V$2:$V$61,MATCH($A4,Experiments!$A$2:$A$61,0))="","",INDEX(Experiments!$V$2:$V$61,MATCH($A4,Experiments!$A$2:$A$61,0))),""))</f>
        <v/>
      </c>
      <c r="D4" s="33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4" t="n"/>
      <c r="B5" s="33">
        <f>IF($A5="","",IFERROR(IF(INDEX(Experiments!$U$2:$U$61,MATCH($A5,Experiments!$A$2:$A$61,0))="","",INDEX(Experiments!$U$2:$U$61,MATCH($A5,Experiments!$A$2:$A$61,0))),""))</f>
        <v/>
      </c>
      <c r="C5" s="33">
        <f>IF($A5="","",IFERROR(IF(INDEX(Experiments!$V$2:$V$61,MATCH($A5,Experiments!$A$2:$A$61,0))="","",INDEX(Experiments!$V$2:$V$61,MATCH($A5,Experiments!$A$2:$A$61,0))),""))</f>
        <v/>
      </c>
      <c r="D5" s="33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4" t="n"/>
      <c r="B6" s="33">
        <f>IF($A6="","",IFERROR(IF(INDEX(Experiments!$U$2:$U$61,MATCH($A6,Experiments!$A$2:$A$61,0))="","",INDEX(Experiments!$U$2:$U$61,MATCH($A6,Experiments!$A$2:$A$61,0))),""))</f>
        <v/>
      </c>
      <c r="C6" s="33">
        <f>IF($A6="","",IFERROR(IF(INDEX(Experiments!$V$2:$V$61,MATCH($A6,Experiments!$A$2:$A$61,0))="","",INDEX(Experiments!$V$2:$V$61,MATCH($A6,Experiments!$A$2:$A$61,0))),""))</f>
        <v/>
      </c>
      <c r="D6" s="33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5" t="inlineStr">
        <is>
          <t>mean</t>
        </is>
      </c>
      <c r="B8" s="33">
        <f>IF(COUNT(B2:B6)=0,"",AVERAGE(B2:B6))</f>
        <v/>
      </c>
      <c r="C8" s="33">
        <f>IF(COUNT(C2:C6)=0,"",AVERAGE(C2:C6))</f>
        <v/>
      </c>
      <c r="D8" s="33">
        <f>IF(COUNT(D2:D6)=0,"",AVERAGE(D2:D6))</f>
        <v/>
      </c>
    </row>
    <row r="9" ht="15" customHeight="1" s="20">
      <c r="A9" s="35" t="inlineStr">
        <is>
          <t>std (mẫu)</t>
        </is>
      </c>
      <c r="B9" s="33">
        <f>IF(COUNT(B2:B6)&lt;2,"",STDEV(B2:B6))</f>
        <v/>
      </c>
      <c r="C9" s="33">
        <f>IF(COUNT(C2:C6)&lt;2,"",STDEV(C2:C6))</f>
        <v/>
      </c>
      <c r="D9" s="33">
        <f>IF(COUNT(D2:D6)&lt;2,"",STDEV(D2:D6))</f>
        <v/>
      </c>
    </row>
    <row r="10" ht="15" customHeight="1" s="20">
      <c r="A10" s="35" t="inlineStr">
        <is>
          <t>2σ (ngưỡng nhiễu)</t>
        </is>
      </c>
      <c r="B10" s="33">
        <f>IF(B9="","",2*B9)</f>
        <v/>
      </c>
      <c r="C10" s="33">
        <f>IF(C9="","",2*C9)</f>
        <v/>
      </c>
      <c r="D10" s="33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6">
        <f>COUNTIF(Experiments!$B$2:$B$61,A2)</f>
        <v/>
      </c>
      <c r="C2" s="36">
        <f>COUNTIFS(Experiments!$B$2:$B$61,A2,Experiments!$V$2:$V$61,"&lt;&gt;")</f>
        <v/>
      </c>
      <c r="D2" s="33">
        <f>IF(C2=0,"",_xlfn.MAXIFS(Experiments!$V$2:$V$61,Experiments!$B$2:$B$61,A2))</f>
        <v/>
      </c>
      <c r="E2" s="33">
        <f>IF(C2=0,"",_xlfn.MINIFS(Experiments!$V$2:$V$61,Experiments!$B$2:$B$61,A2))</f>
        <v/>
      </c>
      <c r="F2" s="33">
        <f>IF(C2=0,"",_xlfn.MAXIFS(Experiments!$U$2:$U$61,Experiments!$B$2:$B$61,A2))</f>
        <v/>
      </c>
      <c r="G2" s="36" t="inlineStr">
        <is>
          <t>—</t>
        </is>
      </c>
      <c r="H2" s="37" t="n"/>
    </row>
    <row r="3" ht="15" customHeight="1" s="20">
      <c r="A3" s="31" t="inlineStr">
        <is>
          <t>loss</t>
        </is>
      </c>
      <c r="B3" s="36">
        <f>COUNTIF(Experiments!$B$2:$B$61,A3)</f>
        <v/>
      </c>
      <c r="C3" s="36">
        <f>COUNTIFS(Experiments!$B$2:$B$61,A3,Experiments!$V$2:$V$61,"&lt;&gt;")</f>
        <v/>
      </c>
      <c r="D3" s="33">
        <f>IF(C3=0,"",_xlfn.MAXIFS(Experiments!$V$2:$V$61,Experiments!$B$2:$B$61,A3))</f>
        <v/>
      </c>
      <c r="E3" s="33">
        <f>IF(C3=0,"",_xlfn.MINIFS(Experiments!$V$2:$V$61,Experiments!$B$2:$B$61,A3))</f>
        <v/>
      </c>
      <c r="F3" s="33">
        <f>IF(C3=0,"",_xlfn.MAXIFS(Experiments!$U$2:$U$61,Experiments!$B$2:$B$61,A3))</f>
        <v/>
      </c>
      <c r="G3" s="36">
        <f>IF(C3&gt;0,"Có","Chưa")</f>
        <v/>
      </c>
      <c r="H3" s="37" t="n"/>
    </row>
    <row r="4" ht="15" customHeight="1" s="20">
      <c r="A4" s="31" t="inlineStr">
        <is>
          <t>optimizer</t>
        </is>
      </c>
      <c r="B4" s="36">
        <f>COUNTIF(Experiments!$B$2:$B$61,A4)</f>
        <v/>
      </c>
      <c r="C4" s="36">
        <f>COUNTIFS(Experiments!$B$2:$B$61,A4,Experiments!$V$2:$V$61,"&lt;&gt;")</f>
        <v/>
      </c>
      <c r="D4" s="33">
        <f>IF(C4=0,"",_xlfn.MAXIFS(Experiments!$V$2:$V$61,Experiments!$B$2:$B$61,A4))</f>
        <v/>
      </c>
      <c r="E4" s="33">
        <f>IF(C4=0,"",_xlfn.MINIFS(Experiments!$V$2:$V$61,Experiments!$B$2:$B$61,A4))</f>
        <v/>
      </c>
      <c r="F4" s="33">
        <f>IF(C4=0,"",_xlfn.MAXIFS(Experiments!$U$2:$U$61,Experiments!$B$2:$B$61,A4))</f>
        <v/>
      </c>
      <c r="G4" s="36">
        <f>IF(C4&gt;0,"Có","Chưa")</f>
        <v/>
      </c>
      <c r="H4" s="37" t="n"/>
    </row>
    <row r="5" ht="15" customHeight="1" s="20">
      <c r="A5" s="31" t="inlineStr">
        <is>
          <t>hparam</t>
        </is>
      </c>
      <c r="B5" s="36">
        <f>COUNTIF(Experiments!$B$2:$B$61,A5)</f>
        <v/>
      </c>
      <c r="C5" s="36">
        <f>COUNTIFS(Experiments!$B$2:$B$61,A5,Experiments!$V$2:$V$61,"&lt;&gt;")</f>
        <v/>
      </c>
      <c r="D5" s="33">
        <f>IF(C5=0,"",_xlfn.MAXIFS(Experiments!$V$2:$V$61,Experiments!$B$2:$B$61,A5))</f>
        <v/>
      </c>
      <c r="E5" s="33">
        <f>IF(C5=0,"",_xlfn.MINIFS(Experiments!$V$2:$V$61,Experiments!$B$2:$B$61,A5))</f>
        <v/>
      </c>
      <c r="F5" s="33">
        <f>IF(C5=0,"",_xlfn.MAXIFS(Experiments!$U$2:$U$61,Experiments!$B$2:$B$61,A5))</f>
        <v/>
      </c>
      <c r="G5" s="36">
        <f>IF(C5&gt;0,"Có","Chưa")</f>
        <v/>
      </c>
      <c r="H5" s="37" t="n"/>
    </row>
    <row r="6" ht="15" customHeight="1" s="20">
      <c r="A6" s="31" t="inlineStr">
        <is>
          <t>dropout</t>
        </is>
      </c>
      <c r="B6" s="36">
        <f>COUNTIF(Experiments!$B$2:$B$61,A6)</f>
        <v/>
      </c>
      <c r="C6" s="36">
        <f>COUNTIFS(Experiments!$B$2:$B$61,A6,Experiments!$V$2:$V$61,"&lt;&gt;")</f>
        <v/>
      </c>
      <c r="D6" s="33">
        <f>IF(C6=0,"",_xlfn.MAXIFS(Experiments!$V$2:$V$61,Experiments!$B$2:$B$61,A6))</f>
        <v/>
      </c>
      <c r="E6" s="33">
        <f>IF(C6=0,"",_xlfn.MINIFS(Experiments!$V$2:$V$61,Experiments!$B$2:$B$61,A6))</f>
        <v/>
      </c>
      <c r="F6" s="33">
        <f>IF(C6=0,"",_xlfn.MAXIFS(Experiments!$U$2:$U$61,Experiments!$B$2:$B$61,A6))</f>
        <v/>
      </c>
      <c r="G6" s="36">
        <f>IF(C6&gt;0,"Có","Chưa")</f>
        <v/>
      </c>
      <c r="H6" s="37" t="n"/>
    </row>
    <row r="7" ht="15" customHeight="1" s="20">
      <c r="A7" s="31" t="inlineStr">
        <is>
          <t>clipping</t>
        </is>
      </c>
      <c r="B7" s="36">
        <f>COUNTIF(Experiments!$B$2:$B$61,A7)</f>
        <v/>
      </c>
      <c r="C7" s="36">
        <f>COUNTIFS(Experiments!$B$2:$B$61,A7,Experiments!$V$2:$V$61,"&lt;&gt;")</f>
        <v/>
      </c>
      <c r="D7" s="33">
        <f>IF(C7=0,"",_xlfn.MAXIFS(Experiments!$V$2:$V$61,Experiments!$B$2:$B$61,A7))</f>
        <v/>
      </c>
      <c r="E7" s="33">
        <f>IF(C7=0,"",_xlfn.MINIFS(Experiments!$V$2:$V$61,Experiments!$B$2:$B$61,A7))</f>
        <v/>
      </c>
      <c r="F7" s="33">
        <f>IF(C7=0,"",_xlfn.MAXIFS(Experiments!$U$2:$U$61,Experiments!$B$2:$B$61,A7))</f>
        <v/>
      </c>
      <c r="G7" s="36">
        <f>IF(C7&gt;0,"Có","Chưa")</f>
        <v/>
      </c>
      <c r="H7" s="37" t="n"/>
    </row>
    <row r="8" ht="15" customHeight="1" s="20">
      <c r="A8" s="31" t="inlineStr">
        <is>
          <t>amp</t>
        </is>
      </c>
      <c r="B8" s="36">
        <f>COUNTIF(Experiments!$B$2:$B$61,A8)</f>
        <v/>
      </c>
      <c r="C8" s="36">
        <f>COUNTIFS(Experiments!$B$2:$B$61,A8,Experiments!$V$2:$V$61,"&lt;&gt;")</f>
        <v/>
      </c>
      <c r="D8" s="33">
        <f>IF(C8=0,"",_xlfn.MAXIFS(Experiments!$V$2:$V$61,Experiments!$B$2:$B$61,A8))</f>
        <v/>
      </c>
      <c r="E8" s="33">
        <f>IF(C8=0,"",_xlfn.MINIFS(Experiments!$V$2:$V$61,Experiments!$B$2:$B$61,A8))</f>
        <v/>
      </c>
      <c r="F8" s="33">
        <f>IF(C8=0,"",_xlfn.MAXIFS(Experiments!$U$2:$U$61,Experiments!$B$2:$B$61,A8))</f>
        <v/>
      </c>
      <c r="G8" s="36">
        <f>IF(C8&gt;0,"Có","Chưa")</f>
        <v/>
      </c>
      <c r="H8" s="37" t="n"/>
    </row>
    <row r="9" ht="15" customHeight="1" s="20">
      <c r="A9" s="31" t="inlineStr">
        <is>
          <t>init</t>
        </is>
      </c>
      <c r="B9" s="36">
        <f>COUNTIF(Experiments!$B$2:$B$61,A9)</f>
        <v/>
      </c>
      <c r="C9" s="36">
        <f>COUNTIFS(Experiments!$B$2:$B$61,A9,Experiments!$V$2:$V$61,"&lt;&gt;")</f>
        <v/>
      </c>
      <c r="D9" s="33">
        <f>IF(C9=0,"",_xlfn.MAXIFS(Experiments!$V$2:$V$61,Experiments!$B$2:$B$61,A9))</f>
        <v/>
      </c>
      <c r="E9" s="33">
        <f>IF(C9=0,"",_xlfn.MINIFS(Experiments!$V$2:$V$61,Experiments!$B$2:$B$61,A9))</f>
        <v/>
      </c>
      <c r="F9" s="33">
        <f>IF(C9=0,"",_xlfn.MAXIFS(Experiments!$U$2:$U$61,Experiments!$B$2:$B$61,A9))</f>
        <v/>
      </c>
      <c r="G9" s="36">
        <f>IF(C9&gt;0,"Có","Chưa")</f>
        <v/>
      </c>
      <c r="H9" s="37" t="n"/>
    </row>
    <row r="10" ht="15" customHeight="1" s="20">
      <c r="A10" s="31" t="inlineStr">
        <is>
          <t>final</t>
        </is>
      </c>
      <c r="B10" s="36">
        <f>COUNTIF(Experiments!$B$2:$B$61,A10)</f>
        <v/>
      </c>
      <c r="C10" s="36">
        <f>COUNTIFS(Experiments!$B$2:$B$61,A10,Experiments!$V$2:$V$61,"&lt;&gt;")</f>
        <v/>
      </c>
      <c r="D10" s="33">
        <f>IF(C10=0,"",_xlfn.MAXIFS(Experiments!$V$2:$V$61,Experiments!$B$2:$B$61,A10))</f>
        <v/>
      </c>
      <c r="E10" s="33">
        <f>IF(C10=0,"",_xlfn.MINIFS(Experiments!$V$2:$V$61,Experiments!$B$2:$B$61,A10))</f>
        <v/>
      </c>
      <c r="F10" s="33">
        <f>IF(C10=0,"",_xlfn.MAXIFS(Experiments!$U$2:$U$61,Experiments!$B$2:$B$61,A10))</f>
        <v/>
      </c>
      <c r="G10" s="36" t="inlineStr">
        <is>
          <t>—</t>
        </is>
      </c>
      <c r="H10" s="37" t="n"/>
    </row>
    <row r="11" ht="15" customHeight="1" s="20">
      <c r="A11" s="31" t="inlineStr">
        <is>
          <t>other</t>
        </is>
      </c>
      <c r="B11" s="36">
        <f>COUNTIF(Experiments!$B$2:$B$61,A11)</f>
        <v/>
      </c>
      <c r="C11" s="36">
        <f>COUNTIFS(Experiments!$B$2:$B$61,A11,Experiments!$V$2:$V$61,"&lt;&gt;")</f>
        <v/>
      </c>
      <c r="D11" s="33">
        <f>IF(C11=0,"",_xlfn.MAXIFS(Experiments!$V$2:$V$61,Experiments!$B$2:$B$61,A11))</f>
        <v/>
      </c>
      <c r="E11" s="33">
        <f>IF(C11=0,"",_xlfn.MINIFS(Experiments!$V$2:$V$61,Experiments!$B$2:$B$61,A11))</f>
        <v/>
      </c>
      <c r="F11" s="33">
        <f>IF(C11=0,"",_xlfn.MAXIFS(Experiments!$U$2:$U$61,Experiments!$B$2:$B$61,A11))</f>
        <v/>
      </c>
      <c r="G11" s="36" t="inlineStr">
        <is>
          <t>—</t>
        </is>
      </c>
      <c r="H11" s="37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2026-10-03T08:33:18Z</dcterms:modified>
  <cp:revision>0</cp:revision>
</cp:coreProperties>
</file>